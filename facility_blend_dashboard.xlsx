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b43195ea46643e/Documents/Data Analyst 2026/10 Analytics/Portfolio/Excel/Producer Settlement Files/"/>
    </mc:Choice>
  </mc:AlternateContent>
  <xr:revisionPtr revIDLastSave="2" documentId="11_CAF582AD51C8B7F09B32D73605DB28295CE7BCFD" xr6:coauthVersionLast="47" xr6:coauthVersionMax="47" xr10:uidLastSave="{464D4F17-D213-42F2-8BA2-E7A149C538D1}"/>
  <bookViews>
    <workbookView xWindow="-28920" yWindow="-120" windowWidth="29040" windowHeight="15720" tabRatio="500" xr2:uid="{00000000-000D-0000-FFFF-FFFF00000000}"/>
  </bookViews>
  <sheets>
    <sheet name="AER Real Data" sheetId="1" r:id="rId1"/>
    <sheet name="Facility Blend (Synthetic)" sheetId="2" r:id="rId2"/>
    <sheet name="Summary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C6" i="3"/>
  <c r="B6" i="3"/>
  <c r="E5" i="3"/>
  <c r="D5" i="3"/>
  <c r="C5" i="3"/>
  <c r="B5" i="3"/>
  <c r="E4" i="3"/>
  <c r="C4" i="3"/>
  <c r="B4" i="3"/>
  <c r="E22" i="2"/>
  <c r="G22" i="2" s="1"/>
  <c r="G21" i="2"/>
  <c r="E21" i="2"/>
  <c r="E20" i="2"/>
  <c r="G20" i="2" s="1"/>
  <c r="G19" i="2"/>
  <c r="E19" i="2"/>
  <c r="E18" i="2"/>
  <c r="G18" i="2" s="1"/>
  <c r="G17" i="2"/>
  <c r="E17" i="2"/>
  <c r="E16" i="2"/>
  <c r="G16" i="2" s="1"/>
  <c r="G15" i="2"/>
  <c r="E15" i="2"/>
  <c r="E14" i="2"/>
  <c r="G14" i="2" s="1"/>
  <c r="G13" i="2"/>
  <c r="E13" i="2"/>
  <c r="E12" i="2"/>
  <c r="G12" i="2" s="1"/>
  <c r="G11" i="2"/>
  <c r="E11" i="2"/>
  <c r="E10" i="2"/>
  <c r="G10" i="2" s="1"/>
  <c r="F6" i="3" s="1"/>
  <c r="G9" i="2"/>
  <c r="E9" i="2"/>
  <c r="E8" i="2"/>
  <c r="G8" i="2" s="1"/>
  <c r="G7" i="2"/>
  <c r="E7" i="2"/>
  <c r="D6" i="3" s="1"/>
  <c r="E6" i="2"/>
  <c r="G6" i="2" s="1"/>
  <c r="F5" i="3" s="1"/>
  <c r="G5" i="2"/>
  <c r="E5" i="2"/>
  <c r="D4" i="3" s="1"/>
  <c r="F4" i="3" l="1"/>
</calcChain>
</file>

<file path=xl/sharedStrings.xml><?xml version="1.0" encoding="utf-8"?>
<sst xmlns="http://schemas.openxmlformats.org/spreadsheetml/2006/main" count="80" uniqueCount="47">
  <si>
    <t>Alberta Crude Oil Production — Real AER Data</t>
  </si>
  <si>
    <t>Source: Alberta Energy Regulator, ST98 Alberta Energy Outlook, Crude Oil Production (retrieved Aug 2026)</t>
  </si>
  <si>
    <t>https://www.aer.ca/data-and-performance-reports/statistical-reports/alberta-energy-outlook-st98/crude-oil/crude-oil-production</t>
  </si>
  <si>
    <t>Annual Average Daily Production (thousand bbl/d)</t>
  </si>
  <si>
    <t>Year</t>
  </si>
  <si>
    <t>Production (000 bbl/d)</t>
  </si>
  <si>
    <t>YoY Change (%)</t>
  </si>
  <si>
    <t>Status</t>
  </si>
  <si>
    <t>2023</t>
  </si>
  <si>
    <t>Actual</t>
  </si>
  <si>
    <t>2024</t>
  </si>
  <si>
    <t>2027</t>
  </si>
  <si>
    <t>AER Forecast (peak)</t>
  </si>
  <si>
    <t>2024 Production Mix by Crude Type</t>
  </si>
  <si>
    <t>Crude Type</t>
  </si>
  <si>
    <t>Share of 2024 Production (%)</t>
  </si>
  <si>
    <t>Light Crude Oil</t>
  </si>
  <si>
    <t>Ultra-Heavy Crude Oil</t>
  </si>
  <si>
    <t>Medium &amp; Heavy Crude Oil (remainder)</t>
  </si>
  <si>
    <t>Note: Light (56%) and Ultra-Heavy (23%) are AER-reported figures. "Medium &amp; Heavy (remainder)" is the arithmetic complement (100% - 56% - 23% = 21%), not a directly AER-published category breakdown.</t>
  </si>
  <si>
    <t>Facility Blend Simulation — SYNTHETIC DATA</t>
  </si>
  <si>
    <t>Facility-level daily blend ratios are not publicly available (proprietary operational data). This sheet uses hypothetical data, structured around the real AER crude-type categories above (Light, Medium/Heavy, Ultra-Heavy), to demonstrate blend-variance analysis methodology.</t>
  </si>
  <si>
    <t>Month</t>
  </si>
  <si>
    <t>Target Blend Ratio (%)</t>
  </si>
  <si>
    <t>Actual Blend Ratio (%)</t>
  </si>
  <si>
    <t>Variance (%)</t>
  </si>
  <si>
    <t>Volume Blended (bbl)</t>
  </si>
  <si>
    <t>Off-Spec Flag</t>
  </si>
  <si>
    <t>Jan-2026</t>
  </si>
  <si>
    <t>Light</t>
  </si>
  <si>
    <t>Medium/Heavy</t>
  </si>
  <si>
    <t>Ultra-Heavy</t>
  </si>
  <si>
    <t>Feb-2026</t>
  </si>
  <si>
    <t>Mar-2026</t>
  </si>
  <si>
    <t>Apr-2026</t>
  </si>
  <si>
    <t>May-2026</t>
  </si>
  <si>
    <t>Jun-2026</t>
  </si>
  <si>
    <t>Blend Performance Summary (Synthetic Facility Data)</t>
  </si>
  <si>
    <t>Avg Target (%)</t>
  </si>
  <si>
    <t>Avg Actual (%)</t>
  </si>
  <si>
    <t>Avg Variance (%)</t>
  </si>
  <si>
    <t>Total Volume (bbl)</t>
  </si>
  <si>
    <t>Months Off-Spec</t>
  </si>
  <si>
    <t>Data Provenance</t>
  </si>
  <si>
    <t>- Real: Alberta's 2024 crude type production mix (Light 56%, Ultra-Heavy 23%) — source AER ST98, cited on the AER Real Data tab.</t>
  </si>
  <si>
    <t>- Synthetic: monthly facility-level blend targets/actuals, structured around the real 2024 mix, since facility-level daily blend data is not publicly available.</t>
  </si>
  <si>
    <t>- The analysis methodology (variance tracking, off-spec flagging, volume-weighted summary) is directly transferable to real 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</si>
</sst>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6B3A"/>
      <name val="Cambria"/>
      <family val="1"/>
    </font>
    <font>
      <i/>
      <sz val="9"/>
      <color rgb="FF666666"/>
      <name val="Cambria"/>
      <family val="1"/>
    </font>
    <font>
      <i/>
      <sz val="8"/>
      <color rgb="FF1155CC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i/>
      <sz val="8"/>
      <color rgb="FF666666"/>
      <name val="Cambria"/>
      <family val="1"/>
    </font>
    <font>
      <b/>
      <sz val="14"/>
      <color rgb="FF8A5A00"/>
      <name val="Cambria"/>
      <family val="1"/>
    </font>
    <font>
      <b/>
      <sz val="14"/>
      <color rgb="FF1F3864"/>
      <name val="Cambria"/>
      <family val="1"/>
    </font>
    <font>
      <b/>
      <sz val="12"/>
      <color rgb="FF1F3864"/>
      <name val="Cambria"/>
      <family val="1"/>
    </font>
    <font>
      <sz val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 applyAlignment="1">
      <alignment wrapText="1"/>
    </xf>
    <xf numFmtId="3" fontId="0" fillId="0" borderId="1" xfId="0" applyNumberFormat="1" applyBorder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A5A00"/>
      <rgbColor rgb="FF800080"/>
      <rgbColor rgb="FF008080"/>
      <rgbColor rgb="FFB0B0B0"/>
      <rgbColor rgb="FF878787"/>
      <rgbColor rgb="FF9999FF"/>
      <rgbColor rgb="FFC0504D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2024 Alberta Crude Oil Production Mix (AER)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'AER Real Data'!$B$12</c:f>
              <c:strCache>
                <c:ptCount val="1"/>
                <c:pt idx="0">
                  <c:v>Share of 2024 Production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9FD-4475-8354-3CF37A6FD44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FD-4475-8354-3CF37A6FD44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FD-4475-8354-3CF37A6FD44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9FD-4475-8354-3CF37A6FD44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9FD-4475-8354-3CF37A6FD44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9FD-4475-8354-3CF37A6FD4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'AER Real Data'!$A$13:$A$15</c:f>
              <c:strCache>
                <c:ptCount val="3"/>
                <c:pt idx="0">
                  <c:v>Light Crude Oil</c:v>
                </c:pt>
                <c:pt idx="1">
                  <c:v>Ultra-Heavy Crude Oil</c:v>
                </c:pt>
                <c:pt idx="2">
                  <c:v>Medium &amp; Heavy Crude Oil (remainder)</c:v>
                </c:pt>
              </c:strCache>
            </c:strRef>
          </c:cat>
          <c:val>
            <c:numRef>
              <c:f>'AER Real Data'!$B$13:$B$15</c:f>
              <c:numCache>
                <c:formatCode>0.0%</c:formatCode>
                <c:ptCount val="3"/>
                <c:pt idx="0">
                  <c:v>0.56000000000000005</c:v>
                </c:pt>
                <c:pt idx="1">
                  <c:v>0.23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FD-4475-8354-3CF37A6F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Average Target vs. Actual Blend Ratio (Synthetic Facility Sim.)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Dashboard'!$B$3</c:f>
              <c:strCache>
                <c:ptCount val="1"/>
                <c:pt idx="0">
                  <c:v>Avg Target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Dashboard'!$A$4:$A$6</c:f>
              <c:strCache>
                <c:ptCount val="3"/>
                <c:pt idx="0">
                  <c:v>Light</c:v>
                </c:pt>
                <c:pt idx="1">
                  <c:v>Medium/Heavy</c:v>
                </c:pt>
                <c:pt idx="2">
                  <c:v>Ultra-Heavy</c:v>
                </c:pt>
              </c:strCache>
            </c:strRef>
          </c:cat>
          <c:val>
            <c:numRef>
              <c:f>'Summary Dashboard'!$B$4:$B$6</c:f>
              <c:numCache>
                <c:formatCode>0.0%</c:formatCode>
                <c:ptCount val="3"/>
                <c:pt idx="0">
                  <c:v>0.56000000000000005</c:v>
                </c:pt>
                <c:pt idx="1">
                  <c:v>0.21</c:v>
                </c:pt>
                <c:pt idx="2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2-4260-9E5C-AB6DDDB0A1BF}"/>
            </c:ext>
          </c:extLst>
        </c:ser>
        <c:ser>
          <c:idx val="1"/>
          <c:order val="1"/>
          <c:tx>
            <c:strRef>
              <c:f>'Summary Dashboard'!$C$3</c:f>
              <c:strCache>
                <c:ptCount val="1"/>
                <c:pt idx="0">
                  <c:v>Avg Actual 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Dashboard'!$A$4:$A$6</c:f>
              <c:strCache>
                <c:ptCount val="3"/>
                <c:pt idx="0">
                  <c:v>Light</c:v>
                </c:pt>
                <c:pt idx="1">
                  <c:v>Medium/Heavy</c:v>
                </c:pt>
                <c:pt idx="2">
                  <c:v>Ultra-Heavy</c:v>
                </c:pt>
              </c:strCache>
            </c:strRef>
          </c:cat>
          <c:val>
            <c:numRef>
              <c:f>'Summary Dashboard'!$C$4:$C$6</c:f>
              <c:numCache>
                <c:formatCode>0.0%</c:formatCode>
                <c:ptCount val="3"/>
                <c:pt idx="0">
                  <c:v>0.55576666666666663</c:v>
                </c:pt>
                <c:pt idx="1">
                  <c:v>0.22126666666666669</c:v>
                </c:pt>
                <c:pt idx="2">
                  <c:v>0.22089999999999999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2-4260-9E5C-AB6DDDB0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32500"/>
        <c:axId val="19863360"/>
      </c:barChart>
      <c:catAx>
        <c:axId val="84532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3360"/>
        <c:crosses val="autoZero"/>
        <c:auto val="1"/>
        <c:lblAlgn val="ctr"/>
        <c:lblOffset val="100"/>
        <c:noMultiLvlLbl val="0"/>
      </c:catAx>
      <c:valAx>
        <c:axId val="19863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Blend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32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160920</xdr:rowOff>
    </xdr:from>
    <xdr:to>
      <xdr:col>8</xdr:col>
      <xdr:colOff>604800</xdr:colOff>
      <xdr:row>17</xdr:row>
      <xdr:rowOff>42120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181800</xdr:rowOff>
    </xdr:from>
    <xdr:to>
      <xdr:col>4</xdr:col>
      <xdr:colOff>1248480</xdr:colOff>
      <xdr:row>23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B3A"/>
    <pageSetUpPr fitToPage="1"/>
  </sheetPr>
  <dimension ref="A1:D17"/>
  <sheetViews>
    <sheetView tabSelected="1" zoomScaleNormal="100" workbookViewId="0"/>
  </sheetViews>
  <sheetFormatPr defaultColWidth="8.7109375" defaultRowHeight="15" x14ac:dyDescent="0.25"/>
  <cols>
    <col min="1" max="1" width="42" customWidth="1"/>
    <col min="2" max="2" width="24" customWidth="1"/>
    <col min="3" max="3" width="16" customWidth="1"/>
    <col min="4" max="4" width="18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3" spans="1:4" x14ac:dyDescent="0.25">
      <c r="A3" s="3" t="s">
        <v>2</v>
      </c>
    </row>
    <row r="5" spans="1:4" x14ac:dyDescent="0.25">
      <c r="A5" s="4" t="s">
        <v>3</v>
      </c>
    </row>
    <row r="6" spans="1:4" ht="28.5" x14ac:dyDescent="0.25">
      <c r="A6" s="5" t="s">
        <v>4</v>
      </c>
      <c r="B6" s="5" t="s">
        <v>5</v>
      </c>
      <c r="C6" s="5" t="s">
        <v>6</v>
      </c>
      <c r="D6" s="5" t="s">
        <v>7</v>
      </c>
    </row>
    <row r="7" spans="1:4" x14ac:dyDescent="0.25">
      <c r="A7" s="6" t="s">
        <v>8</v>
      </c>
      <c r="B7" s="7">
        <v>512.20000000000005</v>
      </c>
      <c r="C7" s="6"/>
      <c r="D7" s="6" t="s">
        <v>9</v>
      </c>
    </row>
    <row r="8" spans="1:4" x14ac:dyDescent="0.25">
      <c r="A8" s="6" t="s">
        <v>10</v>
      </c>
      <c r="B8" s="7">
        <v>530</v>
      </c>
      <c r="C8" s="8">
        <v>3.5000000000000003E-2</v>
      </c>
      <c r="D8" s="6" t="s">
        <v>9</v>
      </c>
    </row>
    <row r="9" spans="1:4" x14ac:dyDescent="0.25">
      <c r="A9" s="6" t="s">
        <v>11</v>
      </c>
      <c r="B9" s="7">
        <v>576.29999999999995</v>
      </c>
      <c r="C9" s="6"/>
      <c r="D9" s="6" t="s">
        <v>12</v>
      </c>
    </row>
    <row r="11" spans="1:4" x14ac:dyDescent="0.25">
      <c r="A11" s="4" t="s">
        <v>13</v>
      </c>
    </row>
    <row r="12" spans="1:4" ht="28.5" x14ac:dyDescent="0.25">
      <c r="A12" s="5" t="s">
        <v>14</v>
      </c>
      <c r="B12" s="5" t="s">
        <v>15</v>
      </c>
    </row>
    <row r="13" spans="1:4" x14ac:dyDescent="0.25">
      <c r="A13" s="6" t="s">
        <v>16</v>
      </c>
      <c r="B13" s="8">
        <v>0.56000000000000005</v>
      </c>
    </row>
    <row r="14" spans="1:4" x14ac:dyDescent="0.25">
      <c r="A14" s="6" t="s">
        <v>17</v>
      </c>
      <c r="B14" s="8">
        <v>0.23</v>
      </c>
    </row>
    <row r="15" spans="1:4" x14ac:dyDescent="0.25">
      <c r="A15" s="6" t="s">
        <v>18</v>
      </c>
      <c r="B15" s="8">
        <v>0.21</v>
      </c>
    </row>
    <row r="17" spans="1:1" ht="27.75" customHeight="1" x14ac:dyDescent="0.25">
      <c r="A17" s="9" t="s">
        <v>19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5A00"/>
  </sheetPr>
  <dimension ref="A1:G22"/>
  <sheetViews>
    <sheetView zoomScaleNormal="100" workbookViewId="0">
      <selection activeCell="M12" sqref="M12"/>
    </sheetView>
  </sheetViews>
  <sheetFormatPr defaultColWidth="8.7109375" defaultRowHeight="15" x14ac:dyDescent="0.25"/>
  <cols>
    <col min="1" max="1" width="12" customWidth="1"/>
    <col min="2" max="2" width="16" customWidth="1"/>
    <col min="3" max="4" width="20" customWidth="1"/>
    <col min="5" max="5" width="14" customWidth="1"/>
    <col min="6" max="6" width="20" customWidth="1"/>
    <col min="7" max="7" width="14" customWidth="1"/>
  </cols>
  <sheetData>
    <row r="1" spans="1:7" ht="18" x14ac:dyDescent="0.25">
      <c r="A1" s="10" t="s">
        <v>20</v>
      </c>
    </row>
    <row r="2" spans="1:7" ht="30" customHeight="1" x14ac:dyDescent="0.25">
      <c r="A2" s="11" t="s">
        <v>21</v>
      </c>
    </row>
    <row r="4" spans="1:7" ht="28.5" x14ac:dyDescent="0.25">
      <c r="A4" s="5" t="s">
        <v>22</v>
      </c>
      <c r="B4" s="5" t="s">
        <v>14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 spans="1:7" x14ac:dyDescent="0.25">
      <c r="A5" s="6" t="s">
        <v>28</v>
      </c>
      <c r="B5" s="6" t="s">
        <v>29</v>
      </c>
      <c r="C5" s="8">
        <v>0.56000000000000005</v>
      </c>
      <c r="D5" s="8">
        <v>0.56840000000000002</v>
      </c>
      <c r="E5" s="8">
        <f t="shared" ref="E5:E22" si="0">D5-C5</f>
        <v>8.3999999999999631E-3</v>
      </c>
      <c r="F5" s="12">
        <v>8204</v>
      </c>
      <c r="G5" s="6" t="str">
        <f t="shared" ref="G5:G22" si="1">IF(ABS(E5)&gt;0.02,"Review","OK")</f>
        <v>OK</v>
      </c>
    </row>
    <row r="6" spans="1:7" x14ac:dyDescent="0.25">
      <c r="A6" s="6" t="s">
        <v>28</v>
      </c>
      <c r="B6" s="6" t="s">
        <v>30</v>
      </c>
      <c r="C6" s="8">
        <v>0.21</v>
      </c>
      <c r="D6" s="8">
        <v>0.22450000000000001</v>
      </c>
      <c r="E6" s="8">
        <f t="shared" si="0"/>
        <v>1.4500000000000013E-2</v>
      </c>
      <c r="F6" s="12">
        <v>10006</v>
      </c>
      <c r="G6" s="6" t="str">
        <f t="shared" si="1"/>
        <v>OK</v>
      </c>
    </row>
    <row r="7" spans="1:7" x14ac:dyDescent="0.25">
      <c r="A7" s="6" t="s">
        <v>28</v>
      </c>
      <c r="B7" s="6" t="s">
        <v>31</v>
      </c>
      <c r="C7" s="8">
        <v>0.23</v>
      </c>
      <c r="D7" s="8">
        <v>0.21340000000000001</v>
      </c>
      <c r="E7" s="8">
        <f t="shared" si="0"/>
        <v>-1.6600000000000004E-2</v>
      </c>
      <c r="F7" s="12">
        <v>14033</v>
      </c>
      <c r="G7" s="6" t="str">
        <f t="shared" si="1"/>
        <v>OK</v>
      </c>
    </row>
    <row r="8" spans="1:7" x14ac:dyDescent="0.25">
      <c r="A8" s="6" t="s">
        <v>32</v>
      </c>
      <c r="B8" s="6" t="s">
        <v>29</v>
      </c>
      <c r="C8" s="8">
        <v>0.56000000000000005</v>
      </c>
      <c r="D8" s="8">
        <v>0.53610000000000002</v>
      </c>
      <c r="E8" s="8">
        <f t="shared" si="0"/>
        <v>-2.3900000000000032E-2</v>
      </c>
      <c r="F8" s="12">
        <v>14067</v>
      </c>
      <c r="G8" s="6" t="str">
        <f t="shared" si="1"/>
        <v>Review</v>
      </c>
    </row>
    <row r="9" spans="1:7" x14ac:dyDescent="0.25">
      <c r="A9" s="6" t="s">
        <v>32</v>
      </c>
      <c r="B9" s="6" t="s">
        <v>30</v>
      </c>
      <c r="C9" s="8">
        <v>0.21</v>
      </c>
      <c r="D9" s="8">
        <v>0.23350000000000001</v>
      </c>
      <c r="E9" s="8">
        <f t="shared" si="0"/>
        <v>2.3500000000000021E-2</v>
      </c>
      <c r="F9" s="12">
        <v>8712</v>
      </c>
      <c r="G9" s="6" t="str">
        <f t="shared" si="1"/>
        <v>Review</v>
      </c>
    </row>
    <row r="10" spans="1:7" x14ac:dyDescent="0.25">
      <c r="A10" s="6" t="s">
        <v>32</v>
      </c>
      <c r="B10" s="6" t="s">
        <v>31</v>
      </c>
      <c r="C10" s="8">
        <v>0.23</v>
      </c>
      <c r="D10" s="8">
        <v>0.2354</v>
      </c>
      <c r="E10" s="8">
        <f t="shared" si="0"/>
        <v>5.3999999999999881E-3</v>
      </c>
      <c r="F10" s="12">
        <v>8260</v>
      </c>
      <c r="G10" s="6" t="str">
        <f t="shared" si="1"/>
        <v>OK</v>
      </c>
    </row>
    <row r="11" spans="1:7" x14ac:dyDescent="0.25">
      <c r="A11" s="6" t="s">
        <v>33</v>
      </c>
      <c r="B11" s="6" t="s">
        <v>29</v>
      </c>
      <c r="C11" s="8">
        <v>0.56000000000000005</v>
      </c>
      <c r="D11" s="8">
        <v>0.53180000000000005</v>
      </c>
      <c r="E11" s="8">
        <f t="shared" si="0"/>
        <v>-2.8200000000000003E-2</v>
      </c>
      <c r="F11" s="12">
        <v>9791</v>
      </c>
      <c r="G11" s="6" t="str">
        <f t="shared" si="1"/>
        <v>Review</v>
      </c>
    </row>
    <row r="12" spans="1:7" x14ac:dyDescent="0.25">
      <c r="A12" s="6" t="s">
        <v>33</v>
      </c>
      <c r="B12" s="6" t="s">
        <v>30</v>
      </c>
      <c r="C12" s="8">
        <v>0.21</v>
      </c>
      <c r="D12" s="8">
        <v>0.19400000000000001</v>
      </c>
      <c r="E12" s="8">
        <f t="shared" si="0"/>
        <v>-1.5999999999999986E-2</v>
      </c>
      <c r="F12" s="12">
        <v>12931</v>
      </c>
      <c r="G12" s="6" t="str">
        <f t="shared" si="1"/>
        <v>OK</v>
      </c>
    </row>
    <row r="13" spans="1:7" x14ac:dyDescent="0.25">
      <c r="A13" s="6" t="s">
        <v>33</v>
      </c>
      <c r="B13" s="6" t="s">
        <v>31</v>
      </c>
      <c r="C13" s="8">
        <v>0.23</v>
      </c>
      <c r="D13" s="8">
        <v>0.2016</v>
      </c>
      <c r="E13" s="8">
        <f t="shared" si="0"/>
        <v>-2.8400000000000009E-2</v>
      </c>
      <c r="F13" s="12">
        <v>9628</v>
      </c>
      <c r="G13" s="6" t="str">
        <f t="shared" si="1"/>
        <v>Review</v>
      </c>
    </row>
    <row r="14" spans="1:7" x14ac:dyDescent="0.25">
      <c r="A14" s="6" t="s">
        <v>34</v>
      </c>
      <c r="B14" s="6" t="s">
        <v>29</v>
      </c>
      <c r="C14" s="8">
        <v>0.56000000000000005</v>
      </c>
      <c r="D14" s="8">
        <v>0.57299999999999995</v>
      </c>
      <c r="E14" s="8">
        <f t="shared" si="0"/>
        <v>1.2999999999999901E-2</v>
      </c>
      <c r="F14" s="12">
        <v>13745</v>
      </c>
      <c r="G14" s="6" t="str">
        <f t="shared" si="1"/>
        <v>OK</v>
      </c>
    </row>
    <row r="15" spans="1:7" x14ac:dyDescent="0.25">
      <c r="A15" s="6" t="s">
        <v>34</v>
      </c>
      <c r="B15" s="6" t="s">
        <v>30</v>
      </c>
      <c r="C15" s="8">
        <v>0.21</v>
      </c>
      <c r="D15" s="8">
        <v>0.2127</v>
      </c>
      <c r="E15" s="8">
        <f t="shared" si="0"/>
        <v>2.7000000000000079E-3</v>
      </c>
      <c r="F15" s="12">
        <v>9805</v>
      </c>
      <c r="G15" s="6" t="str">
        <f t="shared" si="1"/>
        <v>OK</v>
      </c>
    </row>
    <row r="16" spans="1:7" x14ac:dyDescent="0.25">
      <c r="A16" s="6" t="s">
        <v>34</v>
      </c>
      <c r="B16" s="6" t="s">
        <v>31</v>
      </c>
      <c r="C16" s="8">
        <v>0.23</v>
      </c>
      <c r="D16" s="8">
        <v>0.22700000000000001</v>
      </c>
      <c r="E16" s="8">
        <f t="shared" si="0"/>
        <v>-3.0000000000000027E-3</v>
      </c>
      <c r="F16" s="12">
        <v>10278</v>
      </c>
      <c r="G16" s="6" t="str">
        <f t="shared" si="1"/>
        <v>OK</v>
      </c>
    </row>
    <row r="17" spans="1:7" x14ac:dyDescent="0.25">
      <c r="A17" s="6" t="s">
        <v>35</v>
      </c>
      <c r="B17" s="6" t="s">
        <v>29</v>
      </c>
      <c r="C17" s="8">
        <v>0.56000000000000005</v>
      </c>
      <c r="D17" s="8">
        <v>0.5786</v>
      </c>
      <c r="E17" s="8">
        <f t="shared" si="0"/>
        <v>1.859999999999995E-2</v>
      </c>
      <c r="F17" s="12">
        <v>8053</v>
      </c>
      <c r="G17" s="6" t="str">
        <f t="shared" si="1"/>
        <v>OK</v>
      </c>
    </row>
    <row r="18" spans="1:7" x14ac:dyDescent="0.25">
      <c r="A18" s="6" t="s">
        <v>35</v>
      </c>
      <c r="B18" s="6" t="s">
        <v>30</v>
      </c>
      <c r="C18" s="8">
        <v>0.21</v>
      </c>
      <c r="D18" s="8">
        <v>0.22550000000000001</v>
      </c>
      <c r="E18" s="8">
        <f t="shared" si="0"/>
        <v>1.5500000000000014E-2</v>
      </c>
      <c r="F18" s="12">
        <v>9307</v>
      </c>
      <c r="G18" s="6" t="str">
        <f t="shared" si="1"/>
        <v>OK</v>
      </c>
    </row>
    <row r="19" spans="1:7" x14ac:dyDescent="0.25">
      <c r="A19" s="6" t="s">
        <v>35</v>
      </c>
      <c r="B19" s="6" t="s">
        <v>31</v>
      </c>
      <c r="C19" s="8">
        <v>0.23</v>
      </c>
      <c r="D19" s="8">
        <v>0.2419</v>
      </c>
      <c r="E19" s="8">
        <f t="shared" si="0"/>
        <v>1.1899999999999994E-2</v>
      </c>
      <c r="F19" s="12">
        <v>10787</v>
      </c>
      <c r="G19" s="6" t="str">
        <f t="shared" si="1"/>
        <v>OK</v>
      </c>
    </row>
    <row r="20" spans="1:7" x14ac:dyDescent="0.25">
      <c r="A20" s="6" t="s">
        <v>36</v>
      </c>
      <c r="B20" s="6" t="s">
        <v>29</v>
      </c>
      <c r="C20" s="8">
        <v>0.56000000000000005</v>
      </c>
      <c r="D20" s="8">
        <v>0.54669999999999996</v>
      </c>
      <c r="E20" s="8">
        <f t="shared" si="0"/>
        <v>-1.330000000000009E-2</v>
      </c>
      <c r="F20" s="12">
        <v>9763</v>
      </c>
      <c r="G20" s="6" t="str">
        <f t="shared" si="1"/>
        <v>OK</v>
      </c>
    </row>
    <row r="21" spans="1:7" x14ac:dyDescent="0.25">
      <c r="A21" s="6" t="s">
        <v>36</v>
      </c>
      <c r="B21" s="6" t="s">
        <v>30</v>
      </c>
      <c r="C21" s="8">
        <v>0.21</v>
      </c>
      <c r="D21" s="8">
        <v>0.2374</v>
      </c>
      <c r="E21" s="8">
        <f t="shared" si="0"/>
        <v>2.7400000000000008E-2</v>
      </c>
      <c r="F21" s="12">
        <v>10757</v>
      </c>
      <c r="G21" s="6" t="str">
        <f t="shared" si="1"/>
        <v>Review</v>
      </c>
    </row>
    <row r="22" spans="1:7" x14ac:dyDescent="0.25">
      <c r="A22" s="6" t="s">
        <v>36</v>
      </c>
      <c r="B22" s="6" t="s">
        <v>31</v>
      </c>
      <c r="C22" s="8">
        <v>0.23</v>
      </c>
      <c r="D22" s="8">
        <v>0.20610000000000001</v>
      </c>
      <c r="E22" s="8">
        <f t="shared" si="0"/>
        <v>-2.3900000000000005E-2</v>
      </c>
      <c r="F22" s="12">
        <v>11112</v>
      </c>
      <c r="G22" s="6" t="str">
        <f t="shared" si="1"/>
        <v>Review</v>
      </c>
    </row>
  </sheetData>
  <conditionalFormatting sqref="G5:G22">
    <cfRule type="cellIs" dxfId="0" priority="1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zoomScaleNormal="100" workbookViewId="0"/>
  </sheetViews>
  <sheetFormatPr defaultColWidth="8.7109375" defaultRowHeight="15" x14ac:dyDescent="0.25"/>
  <cols>
    <col min="1" max="4" width="16" customWidth="1"/>
    <col min="5" max="5" width="18" customWidth="1"/>
    <col min="6" max="6" width="16" customWidth="1"/>
  </cols>
  <sheetData>
    <row r="1" spans="1:6" ht="18" x14ac:dyDescent="0.25">
      <c r="A1" s="13" t="s">
        <v>37</v>
      </c>
    </row>
    <row r="3" spans="1:6" ht="28.5" x14ac:dyDescent="0.25">
      <c r="A3" s="5" t="s">
        <v>14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</row>
    <row r="4" spans="1:6" x14ac:dyDescent="0.25">
      <c r="A4" s="6" t="s">
        <v>29</v>
      </c>
      <c r="B4" s="8">
        <f>AVERAGEIF('Facility Blend (Synthetic)'!B5:B22,A4,'Facility Blend (Synthetic)'!C5:C22)</f>
        <v>0.56000000000000005</v>
      </c>
      <c r="C4" s="8">
        <f>AVERAGEIF('Facility Blend (Synthetic)'!B5:B22,A4,'Facility Blend (Synthetic)'!D5:D22)</f>
        <v>0.55576666666666663</v>
      </c>
      <c r="D4" s="8">
        <f>AVERAGEIF('Facility Blend (Synthetic)'!B5:B22,A4,'Facility Blend (Synthetic)'!E5:E22)</f>
        <v>-4.2333333333333849E-3</v>
      </c>
      <c r="E4" s="12">
        <f>SUMIF('Facility Blend (Synthetic)'!B5:B22,A4,'Facility Blend (Synthetic)'!F5:F22)</f>
        <v>63623</v>
      </c>
      <c r="F4" s="6">
        <f>COUNTIFS('Facility Blend (Synthetic)'!B5:B22,A4,'Facility Blend (Synthetic)'!G5:G22,"Review")</f>
        <v>2</v>
      </c>
    </row>
    <row r="5" spans="1:6" x14ac:dyDescent="0.25">
      <c r="A5" s="6" t="s">
        <v>30</v>
      </c>
      <c r="B5" s="8">
        <f>AVERAGEIF('Facility Blend (Synthetic)'!B5:B22,A5,'Facility Blend (Synthetic)'!C5:C22)</f>
        <v>0.21</v>
      </c>
      <c r="C5" s="8">
        <f>AVERAGEIF('Facility Blend (Synthetic)'!B5:B22,A5,'Facility Blend (Synthetic)'!D5:D22)</f>
        <v>0.22126666666666669</v>
      </c>
      <c r="D5" s="8">
        <f>AVERAGEIF('Facility Blend (Synthetic)'!B5:B22,A5,'Facility Blend (Synthetic)'!E5:E22)</f>
        <v>1.126666666666668E-2</v>
      </c>
      <c r="E5" s="12">
        <f>SUMIF('Facility Blend (Synthetic)'!B5:B22,A5,'Facility Blend (Synthetic)'!F5:F22)</f>
        <v>61518</v>
      </c>
      <c r="F5" s="6">
        <f>COUNTIFS('Facility Blend (Synthetic)'!B5:B22,A5,'Facility Blend (Synthetic)'!G5:G22,"Review")</f>
        <v>2</v>
      </c>
    </row>
    <row r="6" spans="1:6" x14ac:dyDescent="0.25">
      <c r="A6" s="6" t="s">
        <v>31</v>
      </c>
      <c r="B6" s="8">
        <f>AVERAGEIF('Facility Blend (Synthetic)'!B5:B22,A6,'Facility Blend (Synthetic)'!C5:C22)</f>
        <v>0.23</v>
      </c>
      <c r="C6" s="8">
        <f>AVERAGEIF('Facility Blend (Synthetic)'!B5:B22,A6,'Facility Blend (Synthetic)'!D5:D22)</f>
        <v>0.22089999999999999</v>
      </c>
      <c r="D6" s="8">
        <f>AVERAGEIF('Facility Blend (Synthetic)'!B5:B22,A6,'Facility Blend (Synthetic)'!E5:E22)</f>
        <v>-9.1000000000000057E-3</v>
      </c>
      <c r="E6" s="12">
        <f>SUMIF('Facility Blend (Synthetic)'!B5:B22,A6,'Facility Blend (Synthetic)'!F5:F22)</f>
        <v>64098</v>
      </c>
      <c r="F6" s="6">
        <f>COUNTIFS('Facility Blend (Synthetic)'!B5:B22,A6,'Facility Blend (Synthetic)'!G5:G22,"Review")</f>
        <v>2</v>
      </c>
    </row>
    <row r="26" spans="1:1" ht="15.75" x14ac:dyDescent="0.25">
      <c r="A26" s="14" t="s">
        <v>43</v>
      </c>
    </row>
    <row r="27" spans="1:1" x14ac:dyDescent="0.25">
      <c r="A27" s="15" t="s">
        <v>44</v>
      </c>
    </row>
    <row r="28" spans="1:1" x14ac:dyDescent="0.25">
      <c r="A28" s="15" t="s">
        <v>45</v>
      </c>
    </row>
    <row r="29" spans="1:1" x14ac:dyDescent="0.25">
      <c r="A29" s="15" t="s">
        <v>46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AER Real Data</vt:lpstr>
      <vt:lpstr>Facility Blend (Synthetic)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moyosoluwa.yusuf@ucalgary.ca</dc:creator>
  <dc:description/>
  <cp:lastModifiedBy>Mo Yusuf</cp:lastModifiedBy>
  <cp:revision>1</cp:revision>
  <dcterms:created xsi:type="dcterms:W3CDTF">2026-08-19T17:25:09Z</dcterms:created>
  <dcterms:modified xsi:type="dcterms:W3CDTF">2026-08-19T17:55:04Z</dcterms:modified>
  <dc:language>en-US</dc:language>
</cp:coreProperties>
</file>